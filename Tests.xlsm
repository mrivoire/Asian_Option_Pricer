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evinci-my.sharepoint.com/personal/manon_rivoire_devinci_fr/Documents/Documents/Cours/ESILV 4A IF/MyWorkspace/PricerOptions_LastVersion/"/>
    </mc:Choice>
  </mc:AlternateContent>
  <xr:revisionPtr revIDLastSave="0" documentId="8_{32938AF1-2C90-46B0-831B-98231BADE9DE}" xr6:coauthVersionLast="31" xr6:coauthVersionMax="31" xr10:uidLastSave="{00000000-0000-0000-0000-000000000000}"/>
  <bookViews>
    <workbookView xWindow="0" yWindow="0" windowWidth="19200" windowHeight="6960" xr2:uid="{CFFE3DB9-F2DF-455A-8674-E6AE23269A46}"/>
  </bookViews>
  <sheets>
    <sheet name="Feuil1" sheetId="1" r:id="rId1"/>
  </sheets>
  <definedNames>
    <definedName name="solver_adj" localSheetId="0" hidden="1">Feuil1!$K$5:$K$15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Feuil1!$M$3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1" l="1"/>
  <c r="K4" i="1" s="1"/>
  <c r="K5" i="1" s="1"/>
  <c r="K6" i="1" s="1"/>
  <c r="K2" i="1"/>
  <c r="H4" i="1"/>
  <c r="H5" i="1"/>
  <c r="H6" i="1"/>
  <c r="H3" i="1"/>
  <c r="H2" i="1"/>
  <c r="M2" i="1" l="1"/>
  <c r="N2" i="1" s="1"/>
</calcChain>
</file>

<file path=xl/sharedStrings.xml><?xml version="1.0" encoding="utf-8"?>
<sst xmlns="http://schemas.openxmlformats.org/spreadsheetml/2006/main" count="12" uniqueCount="12">
  <si>
    <t>r</t>
  </si>
  <si>
    <t>sigma</t>
  </si>
  <si>
    <t>K</t>
  </si>
  <si>
    <t>T</t>
  </si>
  <si>
    <t>S</t>
  </si>
  <si>
    <t>b</t>
  </si>
  <si>
    <t>nbVal</t>
  </si>
  <si>
    <t>maturValues</t>
  </si>
  <si>
    <t>typeOption</t>
  </si>
  <si>
    <t xml:space="preserve">call </t>
  </si>
  <si>
    <t>z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</si>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</sst>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351DA-CB85-47BC-BC90-26F90F3B3E59}">
  <sheetPr codeName="Feuil1"/>
  <dimension ref="A1:N6"/>
  <sheetViews>
    <sheetView tabSelected="1" topLeftCell="C1" workbookViewId="0">
      <selection activeCell="K13" sqref="K13:O15"/>
    </sheetView>
  </sheetViews>
  <sheetFormatPr baseColWidth="10" defaultRowHeight="14.5" x14ac:dyDescent="0.35"/>
  <sheetData>
    <row r="1" spans="1:14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10</v>
      </c>
      <c r="K1" t="s">
        <v>11</v>
      </c>
    </row>
    <row r="2" spans="1:14" x14ac:dyDescent="0.35">
      <c r="A2">
        <v>0.05</v>
      </c>
      <c r="B2">
        <v>0.3</v>
      </c>
      <c r="C2">
        <v>36</v>
      </c>
      <c r="D2">
        <v>1</v>
      </c>
      <c r="E2">
        <v>35</v>
      </c>
      <c r="F2">
        <v>0.5</v>
      </c>
      <c r="G2">
        <v>5</v>
      </c>
      <c r="H2">
        <f xml:space="preserve"> 1</f>
        <v>1</v>
      </c>
      <c r="I2" t="s">
        <v>9</v>
      </c>
      <c r="J2">
        <v>0.63548099999999996</v>
      </c>
      <c r="K2">
        <f>E2</f>
        <v>35</v>
      </c>
      <c r="M2">
        <f>AVERAGE(K2:K6)</f>
        <v>40.071920640056213</v>
      </c>
      <c r="N2">
        <f>IF(M2-C2 &gt;0,M2-C2,0)</f>
        <v>4.0719206400562129</v>
      </c>
    </row>
    <row r="3" spans="1:14" x14ac:dyDescent="0.35">
      <c r="H3">
        <f>H2+1</f>
        <v>2</v>
      </c>
      <c r="J3">
        <v>0.87385199999999996</v>
      </c>
      <c r="K3">
        <f>K2*EXP(($A$2-$B$2^2/2)*(H3-H2)+$B$2*SQRT(H3-H2)*(J3))</f>
        <v>45.718528871240096</v>
      </c>
    </row>
    <row r="4" spans="1:14" x14ac:dyDescent="0.35">
      <c r="H4">
        <f t="shared" ref="H4:H7" si="0">H3+1</f>
        <v>3</v>
      </c>
      <c r="J4">
        <v>-6.4544699999999997E-2</v>
      </c>
      <c r="K4">
        <f t="shared" ref="K4:K9" si="1">K3*EXP(($A$2-$B$2^2/2)*(H4-H3)+$B$2*SQRT(H4-H3)*(J4))</f>
        <v>45.066548436614688</v>
      </c>
    </row>
    <row r="5" spans="1:14" x14ac:dyDescent="0.35">
      <c r="H5">
        <f t="shared" si="0"/>
        <v>4</v>
      </c>
      <c r="J5">
        <v>-0.61944900000000003</v>
      </c>
      <c r="K5">
        <f t="shared" si="1"/>
        <v>37.611338150264508</v>
      </c>
    </row>
    <row r="6" spans="1:14" x14ac:dyDescent="0.35">
      <c r="H6">
        <f t="shared" si="0"/>
        <v>5</v>
      </c>
      <c r="J6">
        <v>-7.4610200000000002E-2</v>
      </c>
      <c r="K6">
        <f t="shared" si="1"/>
        <v>36.963187742161772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2018-12-21T12:23:30Z</dcterms:created>
  <dcterms:modified xsi:type="dcterms:W3CDTF">2018-12-22T18:45:36Z</dcterms:modified>
</cp:coreProperties>
</file>